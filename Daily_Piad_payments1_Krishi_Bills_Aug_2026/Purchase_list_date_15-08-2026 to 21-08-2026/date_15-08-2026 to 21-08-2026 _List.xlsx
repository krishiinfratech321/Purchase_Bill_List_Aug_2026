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514A4D5-8047-4653-9A89-07A19CC5EFEE}" xr6:coauthVersionLast="47" xr6:coauthVersionMax="47" xr10:uidLastSave="{00000000-0000-0000-0000-000000000000}"/>
  <bookViews>
    <workbookView xWindow="-120" yWindow="-120" windowWidth="25440" windowHeight="15270" activeTab="2" xr2:uid="{E1E8BEB0-7C45-40BF-B119-AC93F03CA3D8}"/>
  </bookViews>
  <sheets>
    <sheet name="date_01-08-2026 to 07-08-2026" sheetId="1" r:id="rId1"/>
    <sheet name="date_01-08-2026 to 14-08-2026" sheetId="2" r:id="rId2"/>
    <sheet name="date_15-08-2026 to 21-08-2026" sheetId="3" r:id="rId3"/>
  </sheets>
  <definedNames>
    <definedName name="_xlnm._FilterDatabase" localSheetId="0" hidden="1">'date_01-08-2026 to 07-08-2026'!$A$3:$G$3</definedName>
    <definedName name="_xlnm._FilterDatabase" localSheetId="1" hidden="1">'date_01-08-2026 to 14-08-2026'!$A$3:$G$3</definedName>
    <definedName name="_xlnm._FilterDatabase" localSheetId="2" hidden="1">'date_15-08-2026 to 21-08-2026'!$A$3:$G$3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3" l="1"/>
  <c r="E21" i="3"/>
  <c r="G20" i="3"/>
  <c r="G17" i="3"/>
  <c r="G18" i="3" s="1"/>
  <c r="G19" i="3" s="1"/>
  <c r="G5" i="3"/>
  <c r="G6" i="3" s="1"/>
  <c r="G7" i="3" s="1"/>
  <c r="G8" i="3" s="1"/>
  <c r="G9" i="3" s="1"/>
  <c r="G10" i="3" s="1"/>
  <c r="F10" i="3"/>
  <c r="E10" i="3"/>
  <c r="G38" i="2"/>
  <c r="G34" i="2"/>
  <c r="G35" i="2" s="1"/>
  <c r="G36" i="2" s="1"/>
  <c r="G37" i="2" s="1"/>
  <c r="F26" i="2"/>
  <c r="E26" i="2"/>
  <c r="G5" i="2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F25" i="1"/>
  <c r="E25" i="1"/>
  <c r="G5" i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</calcChain>
</file>

<file path=xl/sharedStrings.xml><?xml version="1.0" encoding="utf-8"?>
<sst xmlns="http://schemas.openxmlformats.org/spreadsheetml/2006/main" count="178" uniqueCount="100">
  <si>
    <t>M/S KRISHI INFRATECH,SOMPETA</t>
  </si>
  <si>
    <t>PURCHASE  LIST</t>
  </si>
  <si>
    <t>S.No</t>
  </si>
  <si>
    <t>Date</t>
  </si>
  <si>
    <t>Bill No</t>
  </si>
  <si>
    <t>Particulars</t>
  </si>
  <si>
    <t>Dr Amount</t>
  </si>
  <si>
    <t>Cr Amount</t>
  </si>
  <si>
    <t>Balance</t>
  </si>
  <si>
    <t>02</t>
  </si>
  <si>
    <t>Received money from Rajashekar through PhonePe</t>
  </si>
  <si>
    <t>04</t>
  </si>
  <si>
    <t>Received money from Rajashekar through cash</t>
  </si>
  <si>
    <t>1</t>
  </si>
  <si>
    <t>05</t>
  </si>
  <si>
    <t>06</t>
  </si>
  <si>
    <t>Old Balance</t>
  </si>
  <si>
    <t>01-08-2026</t>
  </si>
  <si>
    <t>135</t>
  </si>
  <si>
    <t>Spiral sheet one packet for office</t>
  </si>
  <si>
    <t>37</t>
  </si>
  <si>
    <t>A4 size 2 bundle for office</t>
  </si>
  <si>
    <t>22</t>
  </si>
  <si>
    <t>Lime Powder 50 kg for survey</t>
  </si>
  <si>
    <t>TH/B2B/2026-27/2</t>
  </si>
  <si>
    <t>14" cutting wheels &amp; measuring tape 5m for steel cutting</t>
  </si>
  <si>
    <t>03-08-2026</t>
  </si>
  <si>
    <t>6x7 mix gum mix screws</t>
  </si>
  <si>
    <t>LC-364 Application Amount for Electrical New Connection</t>
  </si>
  <si>
    <t>06-08-2026</t>
  </si>
  <si>
    <t>25</t>
  </si>
  <si>
    <t>6" Right angle for making racks</t>
  </si>
  <si>
    <t>272</t>
  </si>
  <si>
    <t>200 Amp Fuse (4 No) &amp; 100 Amp Fuse (4 No) for LC-352 &amp; Camp</t>
  </si>
  <si>
    <t>Palasa expense Ananth</t>
  </si>
  <si>
    <t>31</t>
  </si>
  <si>
    <t>T-shirts for Store Incharge</t>
  </si>
  <si>
    <t>Bed, pillow, blanket, pillow cover for Store Incharge</t>
  </si>
  <si>
    <t>03</t>
  </si>
  <si>
    <t>Shorts 3 pairs for Store Incharge</t>
  </si>
  <si>
    <t>07-08-26</t>
  </si>
  <si>
    <t>A/C books 350 pages, 4 Nos for Lab</t>
  </si>
  <si>
    <t>71</t>
  </si>
  <si>
    <t>A/C books 350 pages, 10 Nos for Lab</t>
  </si>
  <si>
    <t>40</t>
  </si>
  <si>
    <t>10" Adjustment Spanner for Lab</t>
  </si>
  <si>
    <t>Gst</t>
  </si>
  <si>
    <t>Red oxide paint, 3" brush, 4" rollers for compound &amp; gate</t>
  </si>
  <si>
    <t>Total From Date 01-08-2028 to 07-08-2026</t>
  </si>
  <si>
    <t>PURCHASE  LIST,DAILY PAYMENTS</t>
  </si>
  <si>
    <t>10-08-2026</t>
  </si>
  <si>
    <t>151</t>
  </si>
  <si>
    <t>Box files 12 No's&amp; flat files 28 No's for office</t>
  </si>
  <si>
    <t>Cartridge refilling for office printer.</t>
  </si>
  <si>
    <t>11-08-2026</t>
  </si>
  <si>
    <t>21</t>
  </si>
  <si>
    <t>Dustbin big 1 no's &amp; small 4 no's, dustbin covered, stapler with pipe for store &amp; mechanical room.</t>
  </si>
  <si>
    <t>LC-364 Electrical application fees (Reapply)</t>
  </si>
  <si>
    <t>12-08-2026</t>
  </si>
  <si>
    <t>84</t>
  </si>
  <si>
    <t>Earthing pipes 5 no's &amp; tags for store, mech &amp; RMC plant.</t>
  </si>
  <si>
    <t>29</t>
  </si>
  <si>
    <t>M.S. Bolts 300 grams for camp office.</t>
  </si>
  <si>
    <t>Grinding machine carbon bush 4" &amp; 7" for camp office</t>
  </si>
  <si>
    <t>Received money from Rajasekhar through Ph. Pay</t>
  </si>
  <si>
    <t>13-08-2026</t>
  </si>
  <si>
    <t>26</t>
  </si>
  <si>
    <t>Sink brushes &amp; pen stand for A. Room, water filter, bucket, mug for camp office.</t>
  </si>
  <si>
    <t>56</t>
  </si>
  <si>
    <t>Wheel baring for camp office</t>
  </si>
  <si>
    <t>Off white Enamel paint one liter for camp office</t>
  </si>
  <si>
    <t>30</t>
  </si>
  <si>
    <t>Tape big 2 no's &amp; 4 no's small for lab &amp; screwdriver</t>
  </si>
  <si>
    <t>2x2 feet glass 3mm for lab</t>
  </si>
  <si>
    <t>Tester for lab</t>
  </si>
  <si>
    <t>14-08-2026</t>
  </si>
  <si>
    <t>Flowers 500 grms for independency</t>
  </si>
  <si>
    <t>Gandhi Photo for independency</t>
  </si>
  <si>
    <t>Flag Rope 6mtrs for independency</t>
  </si>
  <si>
    <t>4" Grinding wheels &amp; 3/8* 2" Bolts For Lab</t>
  </si>
  <si>
    <t>Pula mala for independence day</t>
  </si>
  <si>
    <t>Gst_0512</t>
  </si>
  <si>
    <t>Flexi Printing For independence</t>
  </si>
  <si>
    <t>TOTAL</t>
  </si>
  <si>
    <t>MIRAI BUILDTECH PVT LTD ,SOMPETA</t>
  </si>
  <si>
    <t>Purchase List,Daily Payments</t>
  </si>
  <si>
    <t>Long note books &amp; pens, pencils &amp; punching machine for crusher.</t>
  </si>
  <si>
    <t>Mirai  Buildtech Pvt Ltd WiFi recharge bill</t>
  </si>
  <si>
    <t>4" Rubber packet for crusher.</t>
  </si>
  <si>
    <t>Rubber Stamp for Mirai  Buildtech Pvt Ltd</t>
  </si>
  <si>
    <t xml:space="preserve">  TOTAL</t>
  </si>
  <si>
    <t>19-08-2026</t>
  </si>
  <si>
    <t>Cello Tape 5 Nos for A1 Room</t>
  </si>
  <si>
    <t>4" Grinding wheel &amp; 4" cutting wheel, cable for store, camp office work</t>
  </si>
  <si>
    <t>Water can &amp; cloth for crusher weighment room</t>
  </si>
  <si>
    <t>Wall fan for crusher weighment room</t>
  </si>
  <si>
    <t>21-08-2026</t>
  </si>
  <si>
    <t>Colin glass cleaner for office</t>
  </si>
  <si>
    <t>Total</t>
  </si>
  <si>
    <t>G_381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</si>
</sst>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name val="Calibri"/>
      <family val="2"/>
    </font>
    <font>
      <sz val="11"/>
      <color theme="6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2" borderId="0" xfId="0" applyFont="1" applyFill="1" applyAlignment="1">
      <alignment horizontal="center"/>
    </xf>
    <xf numFmtId="0" fontId="4" fillId="0" borderId="0" xfId="0" applyFont="1"/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4" fontId="0" fillId="0" borderId="1" xfId="0" applyNumberFormat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left" vertical="top" wrapText="1"/>
    </xf>
    <xf numFmtId="4" fontId="0" fillId="5" borderId="1" xfId="0" applyNumberForma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4" fontId="6" fillId="0" borderId="1" xfId="0" applyNumberFormat="1" applyFont="1" applyBorder="1" applyAlignment="1">
      <alignment horizontal="center" vertical="top" wrapText="1"/>
    </xf>
    <xf numFmtId="0" fontId="7" fillId="6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4" fontId="1" fillId="0" borderId="1" xfId="0" applyNumberFormat="1" applyFont="1" applyBorder="1" applyAlignment="1">
      <alignment horizontal="center" vertical="top" wrapText="1"/>
    </xf>
    <xf numFmtId="14" fontId="0" fillId="0" borderId="1" xfId="0" applyNumberFormat="1" applyBorder="1" applyAlignment="1">
      <alignment horizontal="center" vertical="top" wrapText="1"/>
    </xf>
    <xf numFmtId="0" fontId="0" fillId="0" borderId="3" xfId="0" applyBorder="1"/>
    <xf numFmtId="0" fontId="3" fillId="3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0" fontId="0" fillId="0" borderId="3" xfId="0" applyBorder="1" applyAlignment="1">
      <alignment vertical="top" wrapText="1"/>
    </xf>
    <xf numFmtId="4" fontId="0" fillId="0" borderId="3" xfId="0" applyNumberForma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0" fillId="8" borderId="8" xfId="0" applyFill="1" applyBorder="1"/>
    <xf numFmtId="0" fontId="0" fillId="0" borderId="8" xfId="0" applyBorder="1" applyAlignment="1">
      <alignment horizontal="center" vertical="top" wrapText="1"/>
    </xf>
    <xf numFmtId="4" fontId="8" fillId="8" borderId="9" xfId="0" applyNumberFormat="1" applyFont="1" applyFill="1" applyBorder="1" applyAlignment="1">
      <alignment horizontal="center" vertical="center"/>
    </xf>
    <xf numFmtId="0" fontId="0" fillId="0" borderId="10" xfId="0" applyBorder="1"/>
    <xf numFmtId="0" fontId="1" fillId="0" borderId="11" xfId="0" applyFont="1" applyBorder="1" applyAlignment="1">
      <alignment horizontal="center"/>
    </xf>
    <xf numFmtId="4" fontId="3" fillId="8" borderId="12" xfId="0" applyNumberFormat="1" applyFont="1" applyFill="1" applyBorder="1" applyAlignment="1">
      <alignment horizontal="center" vertical="center"/>
    </xf>
    <xf numFmtId="0" fontId="0" fillId="0" borderId="4" xfId="0" applyBorder="1"/>
    <xf numFmtId="0" fontId="0" fillId="0" borderId="13" xfId="0" applyBorder="1"/>
    <xf numFmtId="0" fontId="0" fillId="0" borderId="14" xfId="0" applyBorder="1"/>
    <xf numFmtId="0" fontId="3" fillId="8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4" fontId="1" fillId="0" borderId="11" xfId="0" applyNumberFormat="1" applyFont="1" applyBorder="1" applyAlignment="1">
      <alignment horizontal="center" vertical="top" wrapText="1"/>
    </xf>
    <xf numFmtId="4" fontId="3" fillId="0" borderId="12" xfId="0" applyNumberFormat="1" applyFont="1" applyBorder="1" applyAlignment="1">
      <alignment horizontal="center" vertical="center"/>
    </xf>
    <xf numFmtId="4" fontId="8" fillId="0" borderId="9" xfId="0" applyNumberFormat="1" applyFont="1" applyBorder="1" applyAlignment="1">
      <alignment horizontal="center" vertical="center"/>
    </xf>
    <xf numFmtId="0" fontId="7" fillId="7" borderId="6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0" fillId="9" borderId="0" xfId="0" applyFill="1"/>
    <xf numFmtId="0" fontId="0" fillId="9" borderId="6" xfId="0" applyFill="1" applyBorder="1"/>
    <xf numFmtId="0" fontId="2" fillId="9" borderId="6" xfId="0" applyFont="1" applyFill="1" applyBorder="1" applyAlignment="1">
      <alignment horizontal="center"/>
    </xf>
    <xf numFmtId="0" fontId="0" fillId="9" borderId="3" xfId="0" applyFill="1" applyBorder="1"/>
    <xf numFmtId="0" fontId="2" fillId="9" borderId="3" xfId="0" applyFont="1" applyFill="1" applyBorder="1" applyAlignment="1">
      <alignment horizontal="center"/>
    </xf>
    <xf numFmtId="0" fontId="0" fillId="4" borderId="8" xfId="0" applyFill="1" applyBorder="1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4" borderId="0" xfId="0" applyFill="1"/>
    <xf numFmtId="0" fontId="0" fillId="4" borderId="3" xfId="0" applyFill="1" applyBorder="1" applyAlignment="1">
      <alignment vertical="top" wrapText="1"/>
    </xf>
    <xf numFmtId="4" fontId="0" fillId="4" borderId="3" xfId="0" applyNumberFormat="1" applyFill="1" applyBorder="1" applyAlignment="1">
      <alignment horizontal="center" vertical="top" wrapText="1"/>
    </xf>
    <xf numFmtId="4" fontId="8" fillId="4" borderId="9" xfId="0" applyNumberFormat="1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5872A-D0A9-4A11-BABC-8230FDBDB854}">
  <dimension ref="A1:G25"/>
  <sheetViews>
    <sheetView workbookViewId="0">
      <selection activeCell="P13" sqref="P13"/>
    </sheetView>
  </sheetViews>
  <sheetFormatPr defaultRowHeight="15" x14ac:dyDescent="0.25"/>
  <cols>
    <col min="1" max="1" width="9.140625" customWidth="1"/>
    <col min="2" max="2" width="14.7109375" customWidth="1"/>
    <col min="3" max="3" width="15.5703125" customWidth="1"/>
    <col min="4" max="4" width="67" customWidth="1"/>
    <col min="5" max="5" width="11.7109375" customWidth="1"/>
    <col min="6" max="6" width="14.28515625" customWidth="1"/>
    <col min="7" max="7" width="12.140625" customWidth="1"/>
  </cols>
  <sheetData>
    <row r="1" spans="1:7" ht="15.75" x14ac:dyDescent="0.25">
      <c r="C1" s="2"/>
      <c r="D1" s="1" t="s">
        <v>0</v>
      </c>
    </row>
    <row r="2" spans="1:7" ht="15.75" x14ac:dyDescent="0.25">
      <c r="C2" s="2"/>
      <c r="D2" s="1" t="s">
        <v>1</v>
      </c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</row>
    <row r="4" spans="1:7" x14ac:dyDescent="0.25">
      <c r="A4" s="5">
        <v>95</v>
      </c>
      <c r="B4" s="5"/>
      <c r="C4" s="5"/>
      <c r="D4" s="6" t="s">
        <v>16</v>
      </c>
      <c r="E4" s="5"/>
      <c r="F4" s="5"/>
      <c r="G4" s="5">
        <v>1177</v>
      </c>
    </row>
    <row r="5" spans="1:7" x14ac:dyDescent="0.25">
      <c r="A5" s="7">
        <v>96</v>
      </c>
      <c r="B5" s="7" t="s">
        <v>17</v>
      </c>
      <c r="C5" s="7" t="s">
        <v>18</v>
      </c>
      <c r="D5" s="8" t="s">
        <v>19</v>
      </c>
      <c r="E5" s="7">
        <v>250</v>
      </c>
      <c r="F5" s="7"/>
      <c r="G5" s="9">
        <f>G4+F5-E5</f>
        <v>927</v>
      </c>
    </row>
    <row r="6" spans="1:7" x14ac:dyDescent="0.25">
      <c r="A6" s="7">
        <v>97</v>
      </c>
      <c r="B6" s="7" t="s">
        <v>17</v>
      </c>
      <c r="C6" s="7" t="s">
        <v>20</v>
      </c>
      <c r="D6" s="8" t="s">
        <v>21</v>
      </c>
      <c r="E6" s="7">
        <v>500</v>
      </c>
      <c r="F6" s="7"/>
      <c r="G6" s="9">
        <f t="shared" ref="G6:G24" si="0">G5+F6-E6</f>
        <v>427</v>
      </c>
    </row>
    <row r="7" spans="1:7" x14ac:dyDescent="0.25">
      <c r="A7" s="7">
        <v>98</v>
      </c>
      <c r="B7" s="7" t="s">
        <v>17</v>
      </c>
      <c r="C7" s="7" t="s">
        <v>22</v>
      </c>
      <c r="D7" s="8" t="s">
        <v>23</v>
      </c>
      <c r="E7" s="7">
        <v>1000</v>
      </c>
      <c r="F7" s="7"/>
      <c r="G7" s="9">
        <f t="shared" si="0"/>
        <v>-573</v>
      </c>
    </row>
    <row r="8" spans="1:7" x14ac:dyDescent="0.25">
      <c r="A8" s="7">
        <v>99</v>
      </c>
      <c r="B8" s="7" t="s">
        <v>17</v>
      </c>
      <c r="C8" s="10" t="s">
        <v>24</v>
      </c>
      <c r="D8" s="8" t="s">
        <v>25</v>
      </c>
      <c r="E8" s="7">
        <v>1580</v>
      </c>
      <c r="F8" s="7"/>
      <c r="G8" s="9">
        <f t="shared" si="0"/>
        <v>-2153</v>
      </c>
    </row>
    <row r="9" spans="1:7" x14ac:dyDescent="0.25">
      <c r="A9" s="5">
        <v>100</v>
      </c>
      <c r="B9" s="5" t="s">
        <v>17</v>
      </c>
      <c r="C9" s="5"/>
      <c r="D9" s="6" t="s">
        <v>12</v>
      </c>
      <c r="E9" s="5"/>
      <c r="F9" s="5">
        <v>5000</v>
      </c>
      <c r="G9" s="9">
        <f t="shared" si="0"/>
        <v>2847</v>
      </c>
    </row>
    <row r="10" spans="1:7" x14ac:dyDescent="0.25">
      <c r="A10" s="7">
        <v>101</v>
      </c>
      <c r="B10" s="7" t="s">
        <v>26</v>
      </c>
      <c r="C10" s="7" t="s">
        <v>15</v>
      </c>
      <c r="D10" s="8" t="s">
        <v>27</v>
      </c>
      <c r="E10" s="7">
        <v>110</v>
      </c>
      <c r="F10" s="7"/>
      <c r="G10" s="9">
        <f t="shared" si="0"/>
        <v>2737</v>
      </c>
    </row>
    <row r="11" spans="1:7" x14ac:dyDescent="0.25">
      <c r="A11" s="7">
        <v>102</v>
      </c>
      <c r="B11" s="7" t="s">
        <v>26</v>
      </c>
      <c r="C11" s="7"/>
      <c r="D11" s="8" t="s">
        <v>28</v>
      </c>
      <c r="E11" s="7">
        <v>500</v>
      </c>
      <c r="F11" s="7"/>
      <c r="G11" s="9">
        <f t="shared" si="0"/>
        <v>2237</v>
      </c>
    </row>
    <row r="12" spans="1:7" x14ac:dyDescent="0.25">
      <c r="A12" s="5">
        <v>103</v>
      </c>
      <c r="B12" s="5" t="s">
        <v>29</v>
      </c>
      <c r="C12" s="5"/>
      <c r="D12" s="6" t="s">
        <v>10</v>
      </c>
      <c r="E12" s="5"/>
      <c r="F12" s="5">
        <v>9000</v>
      </c>
      <c r="G12" s="9">
        <f t="shared" si="0"/>
        <v>11237</v>
      </c>
    </row>
    <row r="13" spans="1:7" x14ac:dyDescent="0.25">
      <c r="A13" s="7">
        <v>104</v>
      </c>
      <c r="B13" s="7" t="s">
        <v>29</v>
      </c>
      <c r="C13" s="7" t="s">
        <v>30</v>
      </c>
      <c r="D13" s="8" t="s">
        <v>31</v>
      </c>
      <c r="E13" s="7">
        <v>100</v>
      </c>
      <c r="F13" s="7"/>
      <c r="G13" s="9">
        <f t="shared" si="0"/>
        <v>11137</v>
      </c>
    </row>
    <row r="14" spans="1:7" x14ac:dyDescent="0.25">
      <c r="A14" s="7">
        <v>105</v>
      </c>
      <c r="B14" s="7" t="s">
        <v>29</v>
      </c>
      <c r="C14" s="7" t="s">
        <v>32</v>
      </c>
      <c r="D14" s="8" t="s">
        <v>33</v>
      </c>
      <c r="E14" s="7">
        <v>8470</v>
      </c>
      <c r="F14" s="7"/>
      <c r="G14" s="9">
        <f t="shared" si="0"/>
        <v>2667</v>
      </c>
    </row>
    <row r="15" spans="1:7" x14ac:dyDescent="0.25">
      <c r="A15" s="7">
        <v>106</v>
      </c>
      <c r="B15" s="7" t="s">
        <v>29</v>
      </c>
      <c r="C15" s="7"/>
      <c r="D15" s="8" t="s">
        <v>34</v>
      </c>
      <c r="E15" s="7">
        <v>80</v>
      </c>
      <c r="F15" s="7"/>
      <c r="G15" s="9">
        <f t="shared" si="0"/>
        <v>2587</v>
      </c>
    </row>
    <row r="16" spans="1:7" x14ac:dyDescent="0.25">
      <c r="A16" s="7">
        <v>107</v>
      </c>
      <c r="B16" s="7" t="s">
        <v>29</v>
      </c>
      <c r="C16" s="7" t="s">
        <v>35</v>
      </c>
      <c r="D16" s="8" t="s">
        <v>36</v>
      </c>
      <c r="E16" s="7">
        <v>750</v>
      </c>
      <c r="F16" s="7"/>
      <c r="G16" s="9">
        <f t="shared" si="0"/>
        <v>1837</v>
      </c>
    </row>
    <row r="17" spans="1:7" x14ac:dyDescent="0.25">
      <c r="A17" s="7">
        <v>108</v>
      </c>
      <c r="B17" s="7" t="s">
        <v>29</v>
      </c>
      <c r="C17" s="7" t="s">
        <v>11</v>
      </c>
      <c r="D17" s="8" t="s">
        <v>37</v>
      </c>
      <c r="E17" s="7">
        <v>1930</v>
      </c>
      <c r="F17" s="7"/>
      <c r="G17" s="9">
        <f t="shared" si="0"/>
        <v>-93</v>
      </c>
    </row>
    <row r="18" spans="1:7" x14ac:dyDescent="0.25">
      <c r="A18" s="7">
        <v>109</v>
      </c>
      <c r="B18" s="7" t="s">
        <v>29</v>
      </c>
      <c r="C18" s="7" t="s">
        <v>38</v>
      </c>
      <c r="D18" s="8" t="s">
        <v>39</v>
      </c>
      <c r="E18" s="7">
        <v>800</v>
      </c>
      <c r="F18" s="7"/>
      <c r="G18" s="9">
        <f t="shared" si="0"/>
        <v>-893</v>
      </c>
    </row>
    <row r="19" spans="1:7" x14ac:dyDescent="0.25">
      <c r="A19" s="7">
        <v>110</v>
      </c>
      <c r="B19" s="7" t="s">
        <v>40</v>
      </c>
      <c r="C19" s="7">
        <v>144</v>
      </c>
      <c r="D19" s="8" t="s">
        <v>41</v>
      </c>
      <c r="E19" s="7">
        <v>1000</v>
      </c>
      <c r="F19" s="7"/>
      <c r="G19" s="9">
        <f t="shared" si="0"/>
        <v>-1893</v>
      </c>
    </row>
    <row r="20" spans="1:7" x14ac:dyDescent="0.25">
      <c r="A20" s="7">
        <v>111</v>
      </c>
      <c r="B20" s="7" t="s">
        <v>40</v>
      </c>
      <c r="C20" s="7" t="s">
        <v>42</v>
      </c>
      <c r="D20" s="8" t="s">
        <v>43</v>
      </c>
      <c r="E20" s="7">
        <v>2520</v>
      </c>
      <c r="F20" s="7"/>
      <c r="G20" s="9">
        <f t="shared" si="0"/>
        <v>-4413</v>
      </c>
    </row>
    <row r="21" spans="1:7" x14ac:dyDescent="0.25">
      <c r="A21" s="7">
        <v>112</v>
      </c>
      <c r="B21" s="7" t="s">
        <v>40</v>
      </c>
      <c r="C21" s="7" t="s">
        <v>44</v>
      </c>
      <c r="D21" s="8" t="s">
        <v>45</v>
      </c>
      <c r="E21" s="7">
        <v>530</v>
      </c>
      <c r="F21" s="7"/>
      <c r="G21" s="9">
        <f t="shared" si="0"/>
        <v>-4943</v>
      </c>
    </row>
    <row r="22" spans="1:7" x14ac:dyDescent="0.25">
      <c r="A22" s="7">
        <v>113</v>
      </c>
      <c r="B22" s="7" t="s">
        <v>40</v>
      </c>
      <c r="C22" s="7" t="s">
        <v>46</v>
      </c>
      <c r="D22" s="8" t="s">
        <v>47</v>
      </c>
      <c r="E22" s="7">
        <v>2235</v>
      </c>
      <c r="F22" s="7"/>
      <c r="G22" s="9">
        <f t="shared" si="0"/>
        <v>-7178</v>
      </c>
    </row>
    <row r="23" spans="1:7" x14ac:dyDescent="0.25">
      <c r="A23" s="5">
        <v>114</v>
      </c>
      <c r="B23" s="5" t="s">
        <v>40</v>
      </c>
      <c r="C23" s="5"/>
      <c r="D23" s="6" t="s">
        <v>12</v>
      </c>
      <c r="E23" s="5"/>
      <c r="F23" s="5">
        <v>12000</v>
      </c>
      <c r="G23" s="9">
        <f t="shared" si="0"/>
        <v>4822</v>
      </c>
    </row>
    <row r="24" spans="1:7" x14ac:dyDescent="0.25">
      <c r="A24" s="7"/>
      <c r="B24" s="7"/>
      <c r="C24" s="7"/>
      <c r="D24" s="8"/>
      <c r="E24" s="7"/>
      <c r="F24" s="7"/>
      <c r="G24" s="9">
        <f t="shared" si="0"/>
        <v>4822</v>
      </c>
    </row>
    <row r="25" spans="1:7" ht="15.75" x14ac:dyDescent="0.25">
      <c r="A25" s="7"/>
      <c r="B25" s="7"/>
      <c r="C25" s="7"/>
      <c r="D25" s="11" t="s">
        <v>48</v>
      </c>
      <c r="E25" s="12">
        <f>SUM(E5:E23)</f>
        <v>22355</v>
      </c>
      <c r="F25" s="12">
        <f>SUM(F5:F24)</f>
        <v>26000</v>
      </c>
      <c r="G25" s="13">
        <f>G24-E24+F24</f>
        <v>4822</v>
      </c>
    </row>
  </sheetData>
  <autoFilter ref="A3:G3" xr:uid="{B655872A-D0A9-4A11-BABC-8230FDBDB85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3AA43-64B3-447F-9E4B-2EF455AA1368}">
  <dimension ref="A1:G38"/>
  <sheetViews>
    <sheetView workbookViewId="0">
      <selection activeCell="G38" sqref="G38"/>
    </sheetView>
  </sheetViews>
  <sheetFormatPr defaultRowHeight="15" x14ac:dyDescent="0.25"/>
  <cols>
    <col min="2" max="2" width="13.5703125" customWidth="1"/>
    <col min="4" max="4" width="62.5703125" customWidth="1"/>
    <col min="5" max="5" width="11.85546875" customWidth="1"/>
    <col min="6" max="6" width="14.5703125" customWidth="1"/>
    <col min="7" max="7" width="14.85546875" customWidth="1"/>
  </cols>
  <sheetData>
    <row r="1" spans="1:7" ht="15.75" x14ac:dyDescent="0.25">
      <c r="D1" s="1" t="s">
        <v>0</v>
      </c>
    </row>
    <row r="2" spans="1:7" ht="15.75" x14ac:dyDescent="0.25">
      <c r="D2" s="1" t="s">
        <v>49</v>
      </c>
    </row>
    <row r="3" spans="1:7" x14ac:dyDescent="0.25">
      <c r="A3" s="14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  <c r="G3" s="14" t="s">
        <v>8</v>
      </c>
    </row>
    <row r="4" spans="1:7" x14ac:dyDescent="0.25">
      <c r="A4" s="15"/>
      <c r="B4" s="15"/>
      <c r="C4" s="15"/>
      <c r="D4" s="15"/>
      <c r="E4" s="15"/>
      <c r="F4" s="15">
        <v>4267</v>
      </c>
      <c r="G4" s="15">
        <v>4267</v>
      </c>
    </row>
    <row r="5" spans="1:7" x14ac:dyDescent="0.25">
      <c r="A5" s="16">
        <v>116</v>
      </c>
      <c r="B5" s="30">
        <v>46303</v>
      </c>
      <c r="C5" s="16" t="s">
        <v>51</v>
      </c>
      <c r="D5" s="17" t="s">
        <v>52</v>
      </c>
      <c r="E5" s="18">
        <v>2100</v>
      </c>
      <c r="F5" s="18"/>
      <c r="G5" s="18">
        <f t="shared" ref="G5:G17" si="0">G4-E5+F5</f>
        <v>2167</v>
      </c>
    </row>
    <row r="6" spans="1:7" x14ac:dyDescent="0.25">
      <c r="A6" s="16">
        <v>117</v>
      </c>
      <c r="B6" s="16" t="s">
        <v>50</v>
      </c>
      <c r="C6" s="16" t="s">
        <v>11</v>
      </c>
      <c r="D6" s="17" t="s">
        <v>53</v>
      </c>
      <c r="E6" s="18">
        <v>250</v>
      </c>
      <c r="F6" s="18"/>
      <c r="G6" s="18">
        <f t="shared" si="0"/>
        <v>1917</v>
      </c>
    </row>
    <row r="7" spans="1:7" ht="30" x14ac:dyDescent="0.25">
      <c r="A7" s="16">
        <v>119</v>
      </c>
      <c r="B7" s="16" t="s">
        <v>54</v>
      </c>
      <c r="C7" s="16" t="s">
        <v>55</v>
      </c>
      <c r="D7" s="17" t="s">
        <v>56</v>
      </c>
      <c r="E7" s="18">
        <v>1010</v>
      </c>
      <c r="F7" s="18"/>
      <c r="G7" s="18">
        <f t="shared" si="0"/>
        <v>907</v>
      </c>
    </row>
    <row r="8" spans="1:7" x14ac:dyDescent="0.25">
      <c r="A8" s="16">
        <v>121</v>
      </c>
      <c r="B8" s="16" t="s">
        <v>54</v>
      </c>
      <c r="C8" s="16"/>
      <c r="D8" s="17" t="s">
        <v>57</v>
      </c>
      <c r="E8" s="18">
        <v>100</v>
      </c>
      <c r="F8" s="18"/>
      <c r="G8" s="18">
        <f>G7-E8+F8</f>
        <v>807</v>
      </c>
    </row>
    <row r="9" spans="1:7" x14ac:dyDescent="0.25">
      <c r="A9" s="16">
        <v>122</v>
      </c>
      <c r="B9" s="16" t="s">
        <v>58</v>
      </c>
      <c r="C9" s="16" t="s">
        <v>59</v>
      </c>
      <c r="D9" s="17" t="s">
        <v>60</v>
      </c>
      <c r="E9" s="18">
        <v>3020</v>
      </c>
      <c r="F9" s="18"/>
      <c r="G9" s="18">
        <f t="shared" si="0"/>
        <v>-2213</v>
      </c>
    </row>
    <row r="10" spans="1:7" x14ac:dyDescent="0.25">
      <c r="A10" s="16">
        <v>123</v>
      </c>
      <c r="B10" s="16" t="s">
        <v>58</v>
      </c>
      <c r="C10" s="16" t="s">
        <v>61</v>
      </c>
      <c r="D10" s="17" t="s">
        <v>62</v>
      </c>
      <c r="E10" s="18">
        <v>60</v>
      </c>
      <c r="F10" s="18"/>
      <c r="G10" s="18">
        <f t="shared" si="0"/>
        <v>-2273</v>
      </c>
    </row>
    <row r="11" spans="1:7" x14ac:dyDescent="0.25">
      <c r="A11" s="16">
        <v>124</v>
      </c>
      <c r="B11" s="16" t="s">
        <v>58</v>
      </c>
      <c r="C11" s="16" t="s">
        <v>11</v>
      </c>
      <c r="D11" s="17" t="s">
        <v>63</v>
      </c>
      <c r="E11" s="18">
        <v>600</v>
      </c>
      <c r="F11" s="18"/>
      <c r="G11" s="18">
        <f t="shared" si="0"/>
        <v>-2873</v>
      </c>
    </row>
    <row r="12" spans="1:7" x14ac:dyDescent="0.25">
      <c r="A12" s="19">
        <v>125</v>
      </c>
      <c r="B12" s="19" t="s">
        <v>58</v>
      </c>
      <c r="C12" s="19"/>
      <c r="D12" s="20" t="s">
        <v>64</v>
      </c>
      <c r="E12" s="21"/>
      <c r="F12" s="21">
        <v>10000</v>
      </c>
      <c r="G12" s="21">
        <f t="shared" si="0"/>
        <v>7127</v>
      </c>
    </row>
    <row r="13" spans="1:7" ht="30" x14ac:dyDescent="0.25">
      <c r="A13" s="16">
        <v>126</v>
      </c>
      <c r="B13" s="16" t="s">
        <v>65</v>
      </c>
      <c r="C13" s="16" t="s">
        <v>66</v>
      </c>
      <c r="D13" s="17" t="s">
        <v>67</v>
      </c>
      <c r="E13" s="18">
        <v>1510</v>
      </c>
      <c r="F13" s="18"/>
      <c r="G13" s="18">
        <f t="shared" si="0"/>
        <v>5617</v>
      </c>
    </row>
    <row r="14" spans="1:7" x14ac:dyDescent="0.25">
      <c r="A14" s="16">
        <v>128</v>
      </c>
      <c r="B14" s="16" t="s">
        <v>65</v>
      </c>
      <c r="C14" s="16" t="s">
        <v>68</v>
      </c>
      <c r="D14" s="17" t="s">
        <v>69</v>
      </c>
      <c r="E14" s="18">
        <v>280</v>
      </c>
      <c r="F14" s="18"/>
      <c r="G14" s="18">
        <f t="shared" si="0"/>
        <v>5337</v>
      </c>
    </row>
    <row r="15" spans="1:7" x14ac:dyDescent="0.25">
      <c r="A15" s="16">
        <v>129</v>
      </c>
      <c r="B15" s="16" t="s">
        <v>65</v>
      </c>
      <c r="C15" s="16" t="s">
        <v>9</v>
      </c>
      <c r="D15" s="17" t="s">
        <v>70</v>
      </c>
      <c r="E15" s="18">
        <v>400</v>
      </c>
      <c r="F15" s="18"/>
      <c r="G15" s="18">
        <f t="shared" si="0"/>
        <v>4937</v>
      </c>
    </row>
    <row r="16" spans="1:7" x14ac:dyDescent="0.25">
      <c r="A16" s="16">
        <v>130</v>
      </c>
      <c r="B16" s="16" t="s">
        <v>65</v>
      </c>
      <c r="C16" s="16" t="s">
        <v>71</v>
      </c>
      <c r="D16" s="17" t="s">
        <v>72</v>
      </c>
      <c r="E16" s="18">
        <v>360</v>
      </c>
      <c r="F16" s="18"/>
      <c r="G16" s="18">
        <f t="shared" si="0"/>
        <v>4577</v>
      </c>
    </row>
    <row r="17" spans="1:7" x14ac:dyDescent="0.25">
      <c r="A17" s="16">
        <v>131</v>
      </c>
      <c r="B17" s="16" t="s">
        <v>65</v>
      </c>
      <c r="C17" s="16" t="s">
        <v>13</v>
      </c>
      <c r="D17" s="17" t="s">
        <v>73</v>
      </c>
      <c r="E17" s="18">
        <v>320</v>
      </c>
      <c r="F17" s="18"/>
      <c r="G17" s="18">
        <f t="shared" si="0"/>
        <v>4257</v>
      </c>
    </row>
    <row r="18" spans="1:7" ht="30" x14ac:dyDescent="0.25">
      <c r="A18" s="16">
        <v>132</v>
      </c>
      <c r="B18" s="16" t="s">
        <v>65</v>
      </c>
      <c r="C18" s="16" t="s">
        <v>14</v>
      </c>
      <c r="D18" s="17" t="s">
        <v>74</v>
      </c>
      <c r="E18" s="18">
        <v>30</v>
      </c>
      <c r="F18" s="18"/>
      <c r="G18" s="18">
        <f>G17-E18+F18</f>
        <v>4227</v>
      </c>
    </row>
    <row r="19" spans="1:7" x14ac:dyDescent="0.25">
      <c r="A19" s="16">
        <v>133</v>
      </c>
      <c r="B19" s="16" t="s">
        <v>75</v>
      </c>
      <c r="C19" s="16">
        <v>5</v>
      </c>
      <c r="D19" s="17" t="s">
        <v>76</v>
      </c>
      <c r="E19" s="18">
        <v>200</v>
      </c>
      <c r="F19" s="18"/>
      <c r="G19" s="18">
        <f t="shared" ref="G19:G21" si="1">G18-E19+F19</f>
        <v>4027</v>
      </c>
    </row>
    <row r="20" spans="1:7" x14ac:dyDescent="0.25">
      <c r="A20" s="16">
        <v>134</v>
      </c>
      <c r="B20" s="16" t="s">
        <v>75</v>
      </c>
      <c r="C20" s="16"/>
      <c r="D20" s="17" t="s">
        <v>77</v>
      </c>
      <c r="E20" s="18">
        <v>50</v>
      </c>
      <c r="F20" s="18"/>
      <c r="G20" s="18">
        <f t="shared" si="1"/>
        <v>3977</v>
      </c>
    </row>
    <row r="21" spans="1:7" x14ac:dyDescent="0.25">
      <c r="A21" s="16">
        <v>135</v>
      </c>
      <c r="B21" s="16" t="s">
        <v>75</v>
      </c>
      <c r="C21" s="16">
        <v>31</v>
      </c>
      <c r="D21" s="17" t="s">
        <v>78</v>
      </c>
      <c r="E21" s="18">
        <v>100</v>
      </c>
      <c r="F21" s="18"/>
      <c r="G21" s="18">
        <f t="shared" si="1"/>
        <v>3877</v>
      </c>
    </row>
    <row r="22" spans="1:7" x14ac:dyDescent="0.25">
      <c r="A22" s="16">
        <v>136</v>
      </c>
      <c r="B22" s="16" t="s">
        <v>75</v>
      </c>
      <c r="C22" s="16">
        <v>31</v>
      </c>
      <c r="D22" s="17" t="s">
        <v>79</v>
      </c>
      <c r="E22" s="18">
        <v>180</v>
      </c>
      <c r="F22" s="18"/>
      <c r="G22" s="18">
        <f>G21-E22+F22</f>
        <v>3697</v>
      </c>
    </row>
    <row r="23" spans="1:7" x14ac:dyDescent="0.25">
      <c r="A23" s="16">
        <v>138</v>
      </c>
      <c r="B23" s="16" t="s">
        <v>75</v>
      </c>
      <c r="C23" s="16"/>
      <c r="D23" s="17" t="s">
        <v>80</v>
      </c>
      <c r="E23" s="18">
        <v>100</v>
      </c>
      <c r="F23" s="18"/>
      <c r="G23" s="18">
        <f t="shared" ref="G23:G25" si="2">G22-E23+F23</f>
        <v>3597</v>
      </c>
    </row>
    <row r="24" spans="1:7" x14ac:dyDescent="0.25">
      <c r="A24" s="16">
        <v>139</v>
      </c>
      <c r="B24" s="16" t="s">
        <v>75</v>
      </c>
      <c r="C24" s="16" t="s">
        <v>81</v>
      </c>
      <c r="D24" s="17" t="s">
        <v>82</v>
      </c>
      <c r="E24" s="18">
        <v>375</v>
      </c>
      <c r="F24" s="18"/>
      <c r="G24" s="18">
        <f t="shared" si="2"/>
        <v>3222</v>
      </c>
    </row>
    <row r="25" spans="1:7" x14ac:dyDescent="0.25">
      <c r="A25" s="16"/>
      <c r="B25" s="16"/>
      <c r="C25" s="16"/>
      <c r="D25" s="17"/>
      <c r="E25" s="18"/>
      <c r="F25" s="18"/>
      <c r="G25" s="18">
        <f t="shared" si="2"/>
        <v>3222</v>
      </c>
    </row>
    <row r="26" spans="1:7" ht="15.75" x14ac:dyDescent="0.25">
      <c r="A26" s="16"/>
      <c r="B26" s="16"/>
      <c r="C26" s="16"/>
      <c r="D26" s="22" t="s">
        <v>83</v>
      </c>
      <c r="E26" s="23">
        <f>SUM(E5:E25)</f>
        <v>11045</v>
      </c>
      <c r="F26" s="23">
        <f>SUM(F4:F25)</f>
        <v>14267</v>
      </c>
      <c r="G26" s="23">
        <f>G25-E25+F25</f>
        <v>3222</v>
      </c>
    </row>
    <row r="27" spans="1:7" x14ac:dyDescent="0.25">
      <c r="A27" s="16"/>
      <c r="B27" s="16"/>
      <c r="C27" s="16"/>
      <c r="D27" s="17"/>
      <c r="E27" s="18"/>
      <c r="F27" s="18"/>
      <c r="G27" s="18"/>
    </row>
    <row r="28" spans="1:7" ht="9" customHeight="1" x14ac:dyDescent="0.25"/>
    <row r="29" spans="1:7" hidden="1" x14ac:dyDescent="0.25"/>
    <row r="30" spans="1:7" x14ac:dyDescent="0.25">
      <c r="D30" s="24" t="s">
        <v>84</v>
      </c>
    </row>
    <row r="31" spans="1:7" x14ac:dyDescent="0.25">
      <c r="D31" s="25" t="s">
        <v>85</v>
      </c>
    </row>
    <row r="32" spans="1:7" x14ac:dyDescent="0.25">
      <c r="A32" s="14" t="s">
        <v>2</v>
      </c>
      <c r="B32" s="14" t="s">
        <v>3</v>
      </c>
      <c r="C32" s="14" t="s">
        <v>4</v>
      </c>
      <c r="D32" s="14" t="s">
        <v>5</v>
      </c>
      <c r="E32" s="14" t="s">
        <v>6</v>
      </c>
      <c r="F32" s="14" t="s">
        <v>7</v>
      </c>
      <c r="G32" s="14" t="s">
        <v>8</v>
      </c>
    </row>
    <row r="33" spans="1:7" x14ac:dyDescent="0.25">
      <c r="A33" s="26"/>
      <c r="B33" s="26"/>
      <c r="C33" s="26"/>
      <c r="D33" s="26"/>
      <c r="E33" s="26"/>
      <c r="F33" s="26"/>
      <c r="G33" s="26">
        <v>3222</v>
      </c>
    </row>
    <row r="34" spans="1:7" x14ac:dyDescent="0.25">
      <c r="A34" s="16">
        <v>118</v>
      </c>
      <c r="B34" s="16" t="s">
        <v>54</v>
      </c>
      <c r="C34" s="27" t="s">
        <v>68</v>
      </c>
      <c r="D34" s="17" t="s">
        <v>86</v>
      </c>
      <c r="E34" s="18">
        <v>620</v>
      </c>
      <c r="F34" s="18"/>
      <c r="G34" s="18">
        <f>G33-E34+F34</f>
        <v>2602</v>
      </c>
    </row>
    <row r="35" spans="1:7" x14ac:dyDescent="0.25">
      <c r="A35" s="16">
        <v>120</v>
      </c>
      <c r="B35" s="16" t="s">
        <v>54</v>
      </c>
      <c r="C35" s="16"/>
      <c r="D35" s="17" t="s">
        <v>87</v>
      </c>
      <c r="E35" s="18">
        <v>791.2</v>
      </c>
      <c r="F35" s="18"/>
      <c r="G35" s="18">
        <f t="shared" ref="G35:G36" si="3">G34-E35+F35</f>
        <v>1810.8</v>
      </c>
    </row>
    <row r="36" spans="1:7" x14ac:dyDescent="0.25">
      <c r="A36" s="16">
        <v>127</v>
      </c>
      <c r="B36" s="16" t="s">
        <v>65</v>
      </c>
      <c r="C36" s="27" t="s">
        <v>38</v>
      </c>
      <c r="D36" s="17" t="s">
        <v>88</v>
      </c>
      <c r="E36" s="18">
        <v>230</v>
      </c>
      <c r="F36" s="18"/>
      <c r="G36" s="18">
        <f t="shared" si="3"/>
        <v>1580.8</v>
      </c>
    </row>
    <row r="37" spans="1:7" x14ac:dyDescent="0.25">
      <c r="A37" s="28">
        <v>137</v>
      </c>
      <c r="B37" s="16" t="s">
        <v>75</v>
      </c>
      <c r="C37" s="27" t="s">
        <v>81</v>
      </c>
      <c r="D37" s="17" t="s">
        <v>89</v>
      </c>
      <c r="E37" s="18">
        <v>450</v>
      </c>
      <c r="F37" s="18"/>
      <c r="G37" s="18">
        <f>G36-E37+F37</f>
        <v>1130.8</v>
      </c>
    </row>
    <row r="38" spans="1:7" x14ac:dyDescent="0.25">
      <c r="A38" s="16"/>
      <c r="B38" s="16"/>
      <c r="C38" s="27"/>
      <c r="D38" s="27" t="s">
        <v>90</v>
      </c>
      <c r="E38" s="29"/>
      <c r="F38" s="29"/>
      <c r="G38" s="29">
        <f>G37-E38+F38</f>
        <v>1130.8</v>
      </c>
    </row>
  </sheetData>
  <autoFilter ref="A3:G3" xr:uid="{3453AA43-64B3-447F-9E4B-2EF455AA136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D385F-1EDD-42FB-88AE-5ED9F0917761}">
  <dimension ref="A1:G24"/>
  <sheetViews>
    <sheetView tabSelected="1" workbookViewId="0">
      <selection sqref="A1:G21"/>
    </sheetView>
  </sheetViews>
  <sheetFormatPr defaultRowHeight="15" x14ac:dyDescent="0.25"/>
  <cols>
    <col min="1" max="1" width="15.5703125" customWidth="1"/>
    <col min="2" max="2" width="35.140625" customWidth="1"/>
    <col min="3" max="3" width="13.28515625" customWidth="1"/>
    <col min="4" max="4" width="34" customWidth="1"/>
    <col min="5" max="5" width="16.140625" customWidth="1"/>
    <col min="6" max="6" width="17.5703125" customWidth="1"/>
    <col min="7" max="7" width="18.7109375" customWidth="1"/>
  </cols>
  <sheetData>
    <row r="1" spans="1:7" ht="15.75" x14ac:dyDescent="0.25">
      <c r="A1" s="40"/>
      <c r="B1" s="41"/>
      <c r="C1" s="66"/>
      <c r="D1" s="67" t="s">
        <v>0</v>
      </c>
      <c r="E1" s="66"/>
      <c r="F1" s="41"/>
      <c r="G1" s="42"/>
    </row>
    <row r="2" spans="1:7" ht="15.75" x14ac:dyDescent="0.25">
      <c r="A2" s="43"/>
      <c r="B2" s="31"/>
      <c r="C2" s="68"/>
      <c r="D2" s="69" t="s">
        <v>49</v>
      </c>
      <c r="E2" s="68"/>
      <c r="F2" s="31"/>
      <c r="G2" s="44"/>
    </row>
    <row r="3" spans="1:7" x14ac:dyDescent="0.25">
      <c r="A3" s="45" t="s">
        <v>2</v>
      </c>
      <c r="B3" s="32" t="s">
        <v>3</v>
      </c>
      <c r="C3" s="32" t="s">
        <v>4</v>
      </c>
      <c r="D3" s="32" t="s">
        <v>5</v>
      </c>
      <c r="E3" s="32" t="s">
        <v>6</v>
      </c>
      <c r="F3" s="32" t="s">
        <v>7</v>
      </c>
      <c r="G3" s="46" t="s">
        <v>8</v>
      </c>
    </row>
    <row r="4" spans="1:7" x14ac:dyDescent="0.25">
      <c r="A4" s="47"/>
      <c r="B4" s="33"/>
      <c r="C4" s="33"/>
      <c r="D4" s="33"/>
      <c r="E4" s="33"/>
      <c r="F4" s="33"/>
      <c r="G4" s="76">
        <v>1130.8</v>
      </c>
    </row>
    <row r="5" spans="1:7" x14ac:dyDescent="0.25">
      <c r="A5" s="48">
        <v>140</v>
      </c>
      <c r="B5" s="34" t="s">
        <v>91</v>
      </c>
      <c r="C5" s="34">
        <v>186</v>
      </c>
      <c r="D5" s="35" t="s">
        <v>92</v>
      </c>
      <c r="E5" s="36">
        <v>165</v>
      </c>
      <c r="F5" s="33"/>
      <c r="G5" s="49">
        <f>G4-E5+F5</f>
        <v>965.8</v>
      </c>
    </row>
    <row r="6" spans="1:7" ht="45" x14ac:dyDescent="0.25">
      <c r="A6" s="48">
        <v>141</v>
      </c>
      <c r="B6" s="34" t="s">
        <v>91</v>
      </c>
      <c r="C6" s="34" t="s">
        <v>99</v>
      </c>
      <c r="D6" s="35" t="s">
        <v>93</v>
      </c>
      <c r="E6" s="36">
        <v>1025</v>
      </c>
      <c r="F6" s="36"/>
      <c r="G6" s="49">
        <f t="shared" ref="G6:G9" si="0">G5-E6+F6</f>
        <v>-59.200000000000045</v>
      </c>
    </row>
    <row r="7" spans="1:7" ht="30" x14ac:dyDescent="0.25">
      <c r="A7" s="70">
        <v>144</v>
      </c>
      <c r="B7" s="71" t="s">
        <v>91</v>
      </c>
      <c r="C7" s="72"/>
      <c r="D7" s="73" t="s">
        <v>10</v>
      </c>
      <c r="E7" s="74"/>
      <c r="F7" s="74">
        <v>10000</v>
      </c>
      <c r="G7" s="75">
        <f t="shared" si="0"/>
        <v>9940.7999999999993</v>
      </c>
    </row>
    <row r="8" spans="1:7" x14ac:dyDescent="0.25">
      <c r="A8" s="48">
        <v>145</v>
      </c>
      <c r="B8" s="34" t="s">
        <v>96</v>
      </c>
      <c r="C8" s="34">
        <v>396102</v>
      </c>
      <c r="D8" s="35" t="s">
        <v>97</v>
      </c>
      <c r="E8" s="36">
        <v>229</v>
      </c>
      <c r="F8" s="36"/>
      <c r="G8" s="49">
        <f t="shared" si="0"/>
        <v>9711.7999999999993</v>
      </c>
    </row>
    <row r="9" spans="1:7" x14ac:dyDescent="0.25">
      <c r="A9" s="43"/>
      <c r="B9" s="31"/>
      <c r="C9" s="31"/>
      <c r="D9" s="31"/>
      <c r="E9" s="31"/>
      <c r="F9" s="31"/>
      <c r="G9" s="49">
        <f t="shared" si="0"/>
        <v>9711.7999999999993</v>
      </c>
    </row>
    <row r="10" spans="1:7" ht="15.75" thickBot="1" x14ac:dyDescent="0.3">
      <c r="A10" s="50"/>
      <c r="B10" s="51"/>
      <c r="C10" s="77" t="s">
        <v>98</v>
      </c>
      <c r="D10" s="77"/>
      <c r="E10" s="51">
        <f>SUM(E4:E9)</f>
        <v>1419</v>
      </c>
      <c r="F10" s="51">
        <f>SUM(F4:F8)</f>
        <v>10000</v>
      </c>
      <c r="G10" s="52">
        <f>G9-E9+F9</f>
        <v>9711.7999999999993</v>
      </c>
    </row>
    <row r="12" spans="1:7" ht="15.75" thickBot="1" x14ac:dyDescent="0.3"/>
    <row r="13" spans="1:7" ht="15.75" thickBot="1" x14ac:dyDescent="0.3">
      <c r="A13" s="40"/>
      <c r="B13" s="41"/>
      <c r="C13" s="41"/>
      <c r="D13" s="63" t="s">
        <v>84</v>
      </c>
      <c r="E13" s="41"/>
      <c r="F13" s="54"/>
      <c r="G13" s="53"/>
    </row>
    <row r="14" spans="1:7" x14ac:dyDescent="0.25">
      <c r="A14" s="43"/>
      <c r="B14" s="31"/>
      <c r="C14" s="31"/>
      <c r="D14" s="64" t="s">
        <v>85</v>
      </c>
      <c r="E14" s="31"/>
      <c r="F14" s="31"/>
      <c r="G14" s="55"/>
    </row>
    <row r="15" spans="1:7" x14ac:dyDescent="0.25">
      <c r="A15" s="45" t="s">
        <v>2</v>
      </c>
      <c r="B15" s="32" t="s">
        <v>3</v>
      </c>
      <c r="C15" s="32" t="s">
        <v>4</v>
      </c>
      <c r="D15" s="32" t="s">
        <v>5</v>
      </c>
      <c r="E15" s="32" t="s">
        <v>6</v>
      </c>
      <c r="F15" s="32" t="s">
        <v>7</v>
      </c>
      <c r="G15" s="46" t="s">
        <v>8</v>
      </c>
    </row>
    <row r="16" spans="1:7" x14ac:dyDescent="0.25">
      <c r="A16" s="56"/>
      <c r="B16" s="33"/>
      <c r="C16" s="33"/>
      <c r="D16" s="33"/>
      <c r="E16" s="33"/>
      <c r="F16" s="33"/>
      <c r="G16" s="76">
        <v>9711.7999999999993</v>
      </c>
    </row>
    <row r="17" spans="1:7" ht="30" x14ac:dyDescent="0.25">
      <c r="A17" s="48">
        <v>142</v>
      </c>
      <c r="B17" s="34" t="s">
        <v>91</v>
      </c>
      <c r="C17" s="34">
        <v>46</v>
      </c>
      <c r="D17" s="35" t="s">
        <v>94</v>
      </c>
      <c r="E17" s="36">
        <v>250</v>
      </c>
      <c r="F17" s="37"/>
      <c r="G17" s="62">
        <f>G16-E17+F17</f>
        <v>9461.7999999999993</v>
      </c>
    </row>
    <row r="18" spans="1:7" ht="30" x14ac:dyDescent="0.25">
      <c r="A18" s="48">
        <v>143</v>
      </c>
      <c r="B18" s="34" t="s">
        <v>91</v>
      </c>
      <c r="C18" s="34">
        <v>2088</v>
      </c>
      <c r="D18" s="35" t="s">
        <v>95</v>
      </c>
      <c r="E18" s="36">
        <v>2000</v>
      </c>
      <c r="F18" s="36"/>
      <c r="G18" s="62">
        <f t="shared" ref="G18:G20" si="1">G17-E18+F18</f>
        <v>7461.7999999999993</v>
      </c>
    </row>
    <row r="19" spans="1:7" x14ac:dyDescent="0.25">
      <c r="A19" s="48"/>
      <c r="B19" s="34"/>
      <c r="C19" s="34"/>
      <c r="D19" s="38"/>
      <c r="E19" s="36"/>
      <c r="F19" s="36"/>
      <c r="G19" s="62">
        <f t="shared" si="1"/>
        <v>7461.7999999999993</v>
      </c>
    </row>
    <row r="20" spans="1:7" x14ac:dyDescent="0.25">
      <c r="A20" s="48"/>
      <c r="B20" s="34"/>
      <c r="C20" s="39"/>
      <c r="D20" s="38"/>
      <c r="E20" s="36"/>
      <c r="F20" s="36"/>
      <c r="G20" s="62">
        <f t="shared" si="1"/>
        <v>7461.7999999999993</v>
      </c>
    </row>
    <row r="21" spans="1:7" ht="15.75" thickBot="1" x14ac:dyDescent="0.3">
      <c r="A21" s="57"/>
      <c r="B21" s="58"/>
      <c r="C21" s="59"/>
      <c r="D21" s="59" t="s">
        <v>90</v>
      </c>
      <c r="E21" s="60">
        <f>SUM(E16:E20)</f>
        <v>2250</v>
      </c>
      <c r="F21" s="60"/>
      <c r="G21" s="61">
        <f>G20-E20+F20</f>
        <v>7461.7999999999993</v>
      </c>
    </row>
    <row r="24" spans="1:7" x14ac:dyDescent="0.25">
      <c r="C24" s="65"/>
    </row>
  </sheetData>
  <autoFilter ref="A3:G3" xr:uid="{ADAD385F-1EDD-42FB-88AE-5ED9F0917761}"/>
  <mergeCells count="1">
    <mergeCell ref="C10:D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date_01-08-2026 to 07-08-2026</vt:lpstr>
      <vt:lpstr>date_01-08-2026 to 14-08-2026</vt:lpstr>
      <vt:lpstr>date_15-08-2026 to 21-08-2026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2026-08-21T12:23:41Z</cp:lastPrinted>
  <dcterms:created xsi:type="dcterms:W3CDTF">2026-08-15T05:48:55Z</dcterms:created>
  <dcterms:modified xsi:type="dcterms:W3CDTF">2026-08-21T12:24:09Z</dcterms:modified>
</cp:coreProperties>
</file>