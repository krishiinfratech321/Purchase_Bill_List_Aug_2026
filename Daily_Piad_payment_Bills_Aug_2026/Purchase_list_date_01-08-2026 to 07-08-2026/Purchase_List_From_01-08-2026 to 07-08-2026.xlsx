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urchase_List_Aug_2026\Purchase_list_date_01-08-2026 to 07-01-2026\"/>
    </mc:Choice>
  </mc:AlternateContent>
  <xr:revisionPtr revIDLastSave="0" documentId="13_ncr:1_{5DFD2F85-BE6D-4CF6-AC60-34725539C013}" xr6:coauthVersionLast="47" xr6:coauthVersionMax="47" xr10:uidLastSave="{00000000-0000-0000-0000-000000000000}"/>
  <bookViews>
    <workbookView xWindow="3810" yWindow="3810" windowWidth="18900" windowHeight="10965" xr2:uid="{8145A1ED-5C96-436B-8822-BBFAE3E519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" l="1"/>
  <c r="E25" i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</calcChain>
</file>

<file path=xl/sharedStrings.xml><?xml version="1.0" encoding="utf-8"?>
<sst xmlns="http://schemas.openxmlformats.org/spreadsheetml/2006/main" count="60" uniqueCount="44">
  <si>
    <t>Date</t>
  </si>
  <si>
    <t>Bill No</t>
  </si>
  <si>
    <t>Particulars</t>
  </si>
  <si>
    <t>Dr Amount</t>
  </si>
  <si>
    <t>Cr Amount</t>
  </si>
  <si>
    <t>Balance</t>
  </si>
  <si>
    <t>Old Balance</t>
  </si>
  <si>
    <t>01-08-2026</t>
  </si>
  <si>
    <t>135</t>
  </si>
  <si>
    <t>Spiral sheet one packet for office</t>
  </si>
  <si>
    <t>37</t>
  </si>
  <si>
    <t>A4 size 2 bundle for office</t>
  </si>
  <si>
    <t>22</t>
  </si>
  <si>
    <t>Lime Powder 50 kg for survey</t>
  </si>
  <si>
    <t>TH/B2B/2026-27/2</t>
  </si>
  <si>
    <t>14" cutting wheels &amp; measuring tape 5m for steel cutting</t>
  </si>
  <si>
    <t>Received money from Rajashekar through cash</t>
  </si>
  <si>
    <t>03-08-2026</t>
  </si>
  <si>
    <t>06</t>
  </si>
  <si>
    <t>6x7 mix gum mix screws</t>
  </si>
  <si>
    <t>LC-364 Application Amount for Electrical New Connection</t>
  </si>
  <si>
    <t>06-08-2026</t>
  </si>
  <si>
    <t>Received money from Rajashekar through PhonePe</t>
  </si>
  <si>
    <t>25</t>
  </si>
  <si>
    <t>6" Right angle for making racks</t>
  </si>
  <si>
    <t>272</t>
  </si>
  <si>
    <t>200 Amp Fuse (4 No) &amp; 100 Amp Fuse (4 No) for LC-352 &amp; Camp</t>
  </si>
  <si>
    <t>Palasa expense Ananth</t>
  </si>
  <si>
    <t>31</t>
  </si>
  <si>
    <t>T-shirts for Store Incharge</t>
  </si>
  <si>
    <t>04</t>
  </si>
  <si>
    <t>Bed, pillow, blanket, pillow cover for Store Incharge</t>
  </si>
  <si>
    <t>03</t>
  </si>
  <si>
    <t>Shorts 3 pairs for Store Incharge</t>
  </si>
  <si>
    <t>07-08-26</t>
  </si>
  <si>
    <t>A/C books 350 pages, 4 Nos for Lab</t>
  </si>
  <si>
    <t>71</t>
  </si>
  <si>
    <t>A/C books 350 pages, 10 Nos for Lab</t>
  </si>
  <si>
    <t>40</t>
  </si>
  <si>
    <t>10" Adjustment Spanner for Lab</t>
  </si>
  <si>
    <t>Red oxide paint, 3" brush, 4" rollers for compound &amp; gate</t>
  </si>
  <si>
    <t>Rat bone&amp;Rat biscuit&amp; mat for Zoom line</t>
  </si>
  <si>
    <t>Total From Date 01-08-2028 to 07-08-2026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</si>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</sst>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1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41004-0688-4EA7-9668-D978C073BDC3}">
  <dimension ref="A1:G25"/>
  <sheetViews>
    <sheetView tabSelected="1" zoomScale="55" zoomScaleNormal="55" workbookViewId="0">
      <selection sqref="A1:G1048576"/>
    </sheetView>
  </sheetViews>
  <sheetFormatPr defaultRowHeight="15" x14ac:dyDescent="0.25"/>
  <cols>
    <col min="2" max="2" width="12.5703125" customWidth="1"/>
    <col min="4" max="4" width="56.5703125" customWidth="1"/>
    <col min="5" max="5" width="12.85546875" customWidth="1"/>
    <col min="6" max="6" width="16.28515625" customWidth="1"/>
    <col min="7" max="7" width="13.42578125" customWidth="1"/>
  </cols>
  <sheetData>
    <row r="1" spans="1:7" x14ac:dyDescent="0.25">
      <c r="A1" s="1" t="s">
        <v>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</row>
    <row r="2" spans="1:7" x14ac:dyDescent="0.25">
      <c r="A2" s="3">
        <v>95</v>
      </c>
      <c r="B2" s="3"/>
      <c r="C2" s="3"/>
      <c r="D2" s="4" t="s">
        <v>6</v>
      </c>
      <c r="E2" s="3"/>
      <c r="F2" s="3"/>
      <c r="G2" s="3">
        <v>1177</v>
      </c>
    </row>
    <row r="3" spans="1:7" x14ac:dyDescent="0.25">
      <c r="A3" s="5">
        <v>96</v>
      </c>
      <c r="B3" s="5" t="s">
        <v>7</v>
      </c>
      <c r="C3" s="5" t="s">
        <v>8</v>
      </c>
      <c r="D3" s="6" t="s">
        <v>9</v>
      </c>
      <c r="E3" s="5">
        <v>250</v>
      </c>
      <c r="F3" s="5"/>
      <c r="G3" s="7">
        <f>G2+F3-E3</f>
        <v>927</v>
      </c>
    </row>
    <row r="4" spans="1:7" x14ac:dyDescent="0.25">
      <c r="A4" s="5">
        <v>97</v>
      </c>
      <c r="B4" s="5" t="s">
        <v>7</v>
      </c>
      <c r="C4" s="5" t="s">
        <v>10</v>
      </c>
      <c r="D4" s="6" t="s">
        <v>11</v>
      </c>
      <c r="E4" s="5">
        <v>500</v>
      </c>
      <c r="F4" s="5"/>
      <c r="G4" s="7">
        <f t="shared" ref="G4:G21" si="0">G3+F4-E4</f>
        <v>427</v>
      </c>
    </row>
    <row r="5" spans="1:7" x14ac:dyDescent="0.25">
      <c r="A5" s="5">
        <v>98</v>
      </c>
      <c r="B5" s="5" t="s">
        <v>7</v>
      </c>
      <c r="C5" s="5" t="s">
        <v>12</v>
      </c>
      <c r="D5" s="6" t="s">
        <v>13</v>
      </c>
      <c r="E5" s="5">
        <v>1000</v>
      </c>
      <c r="F5" s="5"/>
      <c r="G5" s="7">
        <f t="shared" si="0"/>
        <v>-573</v>
      </c>
    </row>
    <row r="6" spans="1:7" x14ac:dyDescent="0.25">
      <c r="A6" s="5">
        <v>99</v>
      </c>
      <c r="B6" s="5" t="s">
        <v>7</v>
      </c>
      <c r="C6" s="8" t="s">
        <v>14</v>
      </c>
      <c r="D6" s="6" t="s">
        <v>15</v>
      </c>
      <c r="E6" s="5">
        <v>1580</v>
      </c>
      <c r="F6" s="5"/>
      <c r="G6" s="7">
        <f t="shared" si="0"/>
        <v>-2153</v>
      </c>
    </row>
    <row r="7" spans="1:7" x14ac:dyDescent="0.25">
      <c r="A7" s="3">
        <v>100</v>
      </c>
      <c r="B7" s="3" t="s">
        <v>7</v>
      </c>
      <c r="C7" s="3"/>
      <c r="D7" s="4" t="s">
        <v>16</v>
      </c>
      <c r="E7" s="3"/>
      <c r="F7" s="3">
        <v>5000</v>
      </c>
      <c r="G7" s="7">
        <f t="shared" si="0"/>
        <v>2847</v>
      </c>
    </row>
    <row r="8" spans="1:7" x14ac:dyDescent="0.25">
      <c r="A8" s="5">
        <v>101</v>
      </c>
      <c r="B8" s="5" t="s">
        <v>17</v>
      </c>
      <c r="C8" s="5" t="s">
        <v>18</v>
      </c>
      <c r="D8" s="6" t="s">
        <v>19</v>
      </c>
      <c r="E8" s="5">
        <v>110</v>
      </c>
      <c r="F8" s="5"/>
      <c r="G8" s="7">
        <f t="shared" si="0"/>
        <v>2737</v>
      </c>
    </row>
    <row r="9" spans="1:7" x14ac:dyDescent="0.25">
      <c r="A9" s="5">
        <v>102</v>
      </c>
      <c r="B9" s="5" t="s">
        <v>17</v>
      </c>
      <c r="C9" s="5"/>
      <c r="D9" s="6" t="s">
        <v>20</v>
      </c>
      <c r="E9" s="5">
        <v>500</v>
      </c>
      <c r="F9" s="5"/>
      <c r="G9" s="7">
        <f t="shared" si="0"/>
        <v>2237</v>
      </c>
    </row>
    <row r="10" spans="1:7" x14ac:dyDescent="0.25">
      <c r="A10" s="3">
        <v>103</v>
      </c>
      <c r="B10" s="3" t="s">
        <v>21</v>
      </c>
      <c r="C10" s="3"/>
      <c r="D10" s="4" t="s">
        <v>22</v>
      </c>
      <c r="E10" s="3"/>
      <c r="F10" s="3">
        <v>9000</v>
      </c>
      <c r="G10" s="7">
        <f t="shared" si="0"/>
        <v>11237</v>
      </c>
    </row>
    <row r="11" spans="1:7" x14ac:dyDescent="0.25">
      <c r="A11" s="5">
        <v>104</v>
      </c>
      <c r="B11" s="5" t="s">
        <v>21</v>
      </c>
      <c r="C11" s="5" t="s">
        <v>23</v>
      </c>
      <c r="D11" s="6" t="s">
        <v>24</v>
      </c>
      <c r="E11" s="5">
        <v>100</v>
      </c>
      <c r="F11" s="5"/>
      <c r="G11" s="7">
        <f t="shared" si="0"/>
        <v>11137</v>
      </c>
    </row>
    <row r="12" spans="1:7" x14ac:dyDescent="0.25">
      <c r="A12" s="5">
        <v>105</v>
      </c>
      <c r="B12" s="5" t="s">
        <v>21</v>
      </c>
      <c r="C12" s="5" t="s">
        <v>25</v>
      </c>
      <c r="D12" s="6" t="s">
        <v>26</v>
      </c>
      <c r="E12" s="5">
        <v>8470</v>
      </c>
      <c r="F12" s="5"/>
      <c r="G12" s="7">
        <f t="shared" si="0"/>
        <v>2667</v>
      </c>
    </row>
    <row r="13" spans="1:7" x14ac:dyDescent="0.25">
      <c r="A13" s="5">
        <v>106</v>
      </c>
      <c r="B13" s="5" t="s">
        <v>21</v>
      </c>
      <c r="C13" s="5"/>
      <c r="D13" s="6" t="s">
        <v>27</v>
      </c>
      <c r="E13" s="5">
        <v>80</v>
      </c>
      <c r="F13" s="5"/>
      <c r="G13" s="7">
        <f t="shared" si="0"/>
        <v>2587</v>
      </c>
    </row>
    <row r="14" spans="1:7" x14ac:dyDescent="0.25">
      <c r="A14" s="5">
        <v>107</v>
      </c>
      <c r="B14" s="5" t="s">
        <v>21</v>
      </c>
      <c r="C14" s="5" t="s">
        <v>28</v>
      </c>
      <c r="D14" s="6" t="s">
        <v>29</v>
      </c>
      <c r="E14" s="5">
        <v>750</v>
      </c>
      <c r="F14" s="5"/>
      <c r="G14" s="7">
        <f t="shared" si="0"/>
        <v>1837</v>
      </c>
    </row>
    <row r="15" spans="1:7" x14ac:dyDescent="0.25">
      <c r="A15" s="5">
        <v>108</v>
      </c>
      <c r="B15" s="5" t="s">
        <v>21</v>
      </c>
      <c r="C15" s="5" t="s">
        <v>30</v>
      </c>
      <c r="D15" s="6" t="s">
        <v>31</v>
      </c>
      <c r="E15" s="5">
        <v>1930</v>
      </c>
      <c r="F15" s="5"/>
      <c r="G15" s="7">
        <f t="shared" si="0"/>
        <v>-93</v>
      </c>
    </row>
    <row r="16" spans="1:7" x14ac:dyDescent="0.25">
      <c r="A16" s="5">
        <v>109</v>
      </c>
      <c r="B16" s="5" t="s">
        <v>21</v>
      </c>
      <c r="C16" s="5" t="s">
        <v>32</v>
      </c>
      <c r="D16" s="6" t="s">
        <v>33</v>
      </c>
      <c r="E16" s="5">
        <v>800</v>
      </c>
      <c r="F16" s="5"/>
      <c r="G16" s="7">
        <f t="shared" si="0"/>
        <v>-893</v>
      </c>
    </row>
    <row r="17" spans="1:7" x14ac:dyDescent="0.25">
      <c r="A17" s="5">
        <v>110</v>
      </c>
      <c r="B17" s="5" t="s">
        <v>34</v>
      </c>
      <c r="C17" s="5">
        <v>144</v>
      </c>
      <c r="D17" s="6" t="s">
        <v>35</v>
      </c>
      <c r="E17" s="5">
        <v>1000</v>
      </c>
      <c r="F17" s="5"/>
      <c r="G17" s="7">
        <f t="shared" si="0"/>
        <v>-1893</v>
      </c>
    </row>
    <row r="18" spans="1:7" x14ac:dyDescent="0.25">
      <c r="A18" s="5">
        <v>111</v>
      </c>
      <c r="B18" s="5" t="s">
        <v>34</v>
      </c>
      <c r="C18" s="5" t="s">
        <v>36</v>
      </c>
      <c r="D18" s="6" t="s">
        <v>37</v>
      </c>
      <c r="E18" s="5">
        <v>2520</v>
      </c>
      <c r="F18" s="5"/>
      <c r="G18" s="7">
        <f t="shared" si="0"/>
        <v>-4413</v>
      </c>
    </row>
    <row r="19" spans="1:7" x14ac:dyDescent="0.25">
      <c r="A19" s="5">
        <v>112</v>
      </c>
      <c r="B19" s="5" t="s">
        <v>34</v>
      </c>
      <c r="C19" s="5" t="s">
        <v>38</v>
      </c>
      <c r="D19" s="6" t="s">
        <v>39</v>
      </c>
      <c r="E19" s="5">
        <v>530</v>
      </c>
      <c r="F19" s="5"/>
      <c r="G19" s="7">
        <f t="shared" si="0"/>
        <v>-4943</v>
      </c>
    </row>
    <row r="20" spans="1:7" x14ac:dyDescent="0.25">
      <c r="A20" s="5">
        <v>113</v>
      </c>
      <c r="B20" s="5" t="s">
        <v>34</v>
      </c>
      <c r="C20" s="5">
        <v>351</v>
      </c>
      <c r="D20" s="6" t="s">
        <v>40</v>
      </c>
      <c r="E20" s="5">
        <v>2235</v>
      </c>
      <c r="F20" s="5"/>
      <c r="G20" s="7">
        <f t="shared" si="0"/>
        <v>-7178</v>
      </c>
    </row>
    <row r="21" spans="1:7" x14ac:dyDescent="0.25">
      <c r="A21" s="3">
        <v>114</v>
      </c>
      <c r="B21" s="3" t="s">
        <v>34</v>
      </c>
      <c r="C21" s="3"/>
      <c r="D21" s="4" t="s">
        <v>16</v>
      </c>
      <c r="E21" s="3"/>
      <c r="F21" s="3">
        <v>12000</v>
      </c>
      <c r="G21" s="7">
        <f t="shared" si="0"/>
        <v>4822</v>
      </c>
    </row>
    <row r="22" spans="1:7" x14ac:dyDescent="0.25">
      <c r="A22" s="5"/>
      <c r="B22" s="5"/>
      <c r="C22" s="5"/>
      <c r="D22" s="6"/>
      <c r="E22" s="5"/>
      <c r="F22" s="5"/>
      <c r="G22" s="7">
        <f>G21+F22-E22</f>
        <v>4822</v>
      </c>
    </row>
    <row r="23" spans="1:7" x14ac:dyDescent="0.25">
      <c r="A23" s="5">
        <v>115</v>
      </c>
      <c r="B23" s="9">
        <v>46211</v>
      </c>
      <c r="C23" s="5">
        <v>17</v>
      </c>
      <c r="D23" s="6" t="s">
        <v>41</v>
      </c>
      <c r="E23" s="5">
        <v>555</v>
      </c>
      <c r="F23" s="5"/>
      <c r="G23" s="7">
        <f t="shared" ref="G23:G24" si="1">G22+F23-E23</f>
        <v>4267</v>
      </c>
    </row>
    <row r="24" spans="1:7" x14ac:dyDescent="0.25">
      <c r="A24" s="5"/>
      <c r="B24" s="9"/>
      <c r="C24" s="5"/>
      <c r="D24" s="6"/>
      <c r="E24" s="5"/>
      <c r="F24" s="5"/>
      <c r="G24" s="7">
        <f t="shared" si="1"/>
        <v>4267</v>
      </c>
    </row>
    <row r="25" spans="1:7" ht="15.75" x14ac:dyDescent="0.25">
      <c r="A25" s="10"/>
      <c r="B25" s="10"/>
      <c r="C25" s="10"/>
      <c r="D25" s="11" t="s">
        <v>42</v>
      </c>
      <c r="E25" s="10">
        <f>SUM(E3:E23)</f>
        <v>22910</v>
      </c>
      <c r="F25" s="10">
        <f>SUM(F3:F22)</f>
        <v>26000</v>
      </c>
      <c r="G25" s="12">
        <f>G24</f>
        <v>4267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2026-08-07T12:52:38Z</cp:lastPrinted>
  <dcterms:created xsi:type="dcterms:W3CDTF">2026-08-07T12:52:14Z</dcterms:created>
  <dcterms:modified xsi:type="dcterms:W3CDTF">2026-08-07T13:25:24Z</dcterms:modified>
</cp:coreProperties>
</file>